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/>
  <mc:AlternateContent xmlns:mc="http://schemas.openxmlformats.org/markup-compatibility/2006">
    <mc:Choice Requires="x15">
      <x15ac:absPath xmlns:x15ac="http://schemas.microsoft.com/office/spreadsheetml/2010/11/ac" url="C:\Users\annik\Desktop\"/>
    </mc:Choice>
  </mc:AlternateContent>
  <xr:revisionPtr revIDLastSave="0" documentId="13_ncr:1_{CD569641-0E9D-4D40-9ECE-72EB2EE80B57}" xr6:coauthVersionLast="47" xr6:coauthVersionMax="47" xr10:uidLastSave="{00000000-0000-0000-0000-000000000000}"/>
  <bookViews>
    <workbookView xWindow="-120" yWindow="-120" windowWidth="29040" windowHeight="15840" xr2:uid="{49B88653-ECE9-499F-B36C-3F4728A3B180}"/>
  </bookViews>
  <sheets>
    <sheet name="Stakeholderanalyse" sheetId="4" r:id="rId1"/>
  </sheets>
  <externalReferences>
    <externalReference r:id="rId2"/>
  </externalReferences>
  <definedNames>
    <definedName name="Analysebereiche">[1]!tbl_Analysebereiche[Analysebereiche]</definedName>
    <definedName name="Bewertung">[1]!tbl_Bewertungen[Skala]</definedName>
    <definedName name="Gewichtung">[1]!tbl_Gewichtung[Gewichtung]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4" l="1"/>
  <c r="E4" i="4"/>
  <c r="G4" i="4"/>
  <c r="J4" i="4"/>
  <c r="I4" i="4"/>
  <c r="B10" i="4"/>
  <c r="B11" i="4"/>
  <c r="B8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5" i="4"/>
  <c r="B6" i="4"/>
  <c r="B7" i="4"/>
  <c r="B9" i="4"/>
  <c r="E5" i="4"/>
  <c r="E6" i="4"/>
  <c r="E7" i="4"/>
  <c r="E9" i="4"/>
  <c r="E10" i="4"/>
  <c r="E11" i="4"/>
  <c r="E8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J10" i="4"/>
  <c r="J7" i="4"/>
  <c r="J11" i="4"/>
  <c r="J8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5" i="4"/>
  <c r="J6" i="4"/>
  <c r="G5" i="4"/>
  <c r="G6" i="4"/>
  <c r="G7" i="4"/>
  <c r="G9" i="4"/>
  <c r="G10" i="4"/>
  <c r="G11" i="4"/>
  <c r="G8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J9" i="4"/>
  <c r="I24" i="4"/>
  <c r="I23" i="4"/>
  <c r="I28" i="4"/>
  <c r="I6" i="4"/>
  <c r="I15" i="4"/>
  <c r="I17" i="4"/>
  <c r="I16" i="4"/>
  <c r="I21" i="4"/>
  <c r="I25" i="4"/>
  <c r="I10" i="4"/>
  <c r="I8" i="4"/>
  <c r="I18" i="4"/>
  <c r="I20" i="4"/>
  <c r="I26" i="4"/>
  <c r="I14" i="4"/>
  <c r="I27" i="4"/>
  <c r="I7" i="4"/>
  <c r="I11" i="4"/>
  <c r="I5" i="4"/>
  <c r="I29" i="4"/>
  <c r="I12" i="4"/>
  <c r="I19" i="4"/>
  <c r="I13" i="4"/>
  <c r="I22" i="4"/>
  <c r="I9" i="4"/>
</calcChain>
</file>

<file path=xl/sharedStrings.xml><?xml version="1.0" encoding="utf-8"?>
<sst xmlns="http://schemas.openxmlformats.org/spreadsheetml/2006/main" count="71" uniqueCount="38">
  <si>
    <t>Interesse</t>
  </si>
  <si>
    <t>Einfluss</t>
  </si>
  <si>
    <t>Risiko</t>
  </si>
  <si>
    <t>Legende Risiko</t>
  </si>
  <si>
    <t>kein Risiko</t>
  </si>
  <si>
    <t>mittleres Risiko</t>
  </si>
  <si>
    <t>geringes Risiko</t>
  </si>
  <si>
    <t>Interesse (Wert)</t>
  </si>
  <si>
    <t>Einfluss (Wert)</t>
  </si>
  <si>
    <t>(Stakeholder Name)</t>
  </si>
  <si>
    <t>Name</t>
  </si>
  <si>
    <t>Position/Funktion</t>
  </si>
  <si>
    <t>Priorität (autom.)</t>
  </si>
  <si>
    <t xml:space="preserve">Umgangsstrategie </t>
  </si>
  <si>
    <t>Stakeholderanalyse</t>
  </si>
  <si>
    <t>Ärztliche Direktion</t>
  </si>
  <si>
    <t>Pflegefachkräfte</t>
  </si>
  <si>
    <t xml:space="preserve">IT-Abteilung </t>
  </si>
  <si>
    <t>Ärzte</t>
  </si>
  <si>
    <t>Krankenkassen</t>
  </si>
  <si>
    <t>Patienten</t>
  </si>
  <si>
    <t xml:space="preserve">Politik </t>
  </si>
  <si>
    <t>hoher Einfluss</t>
  </si>
  <si>
    <t>hohes Interesse</t>
  </si>
  <si>
    <t>mittleres Interesse</t>
  </si>
  <si>
    <t>geringer Einfluss</t>
  </si>
  <si>
    <t>eher hoher Einfluss</t>
  </si>
  <si>
    <t>Forschung</t>
  </si>
  <si>
    <t>niedriges Interesse</t>
  </si>
  <si>
    <t>Management</t>
  </si>
  <si>
    <t>extern</t>
  </si>
  <si>
    <t>extrern</t>
  </si>
  <si>
    <t>intern</t>
  </si>
  <si>
    <t xml:space="preserve">intern </t>
  </si>
  <si>
    <t>Fernglas: Beobachten</t>
  </si>
  <si>
    <t>Daumen hoch: Zufriedenstellen</t>
  </si>
  <si>
    <t>Person: Informieren</t>
  </si>
  <si>
    <t>Hand schütteln: Einbinden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</si>
</sst>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20"/>
      <color theme="6"/>
      <name val="Calibri"/>
      <family val="2"/>
      <scheme val="minor"/>
    </font>
    <font>
      <b/>
      <sz val="14"/>
      <color theme="6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0292A"/>
      <name val="Arial"/>
      <family val="2"/>
    </font>
    <font>
      <sz val="10"/>
      <color theme="1"/>
      <name val="Segoe UI"/>
      <family val="2"/>
    </font>
    <font>
      <b/>
      <sz val="24"/>
      <color theme="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9" fontId="3" fillId="0" borderId="0" applyFont="0" applyFill="0" applyBorder="0" applyAlignment="0" applyProtection="0"/>
  </cellStyleXfs>
  <cellXfs count="19">
    <xf numFmtId="0" fontId="0" fillId="0" borderId="0" xfId="0"/>
    <xf numFmtId="0" fontId="0" fillId="2" borderId="0" xfId="0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2" borderId="2" xfId="0" applyFill="1" applyBorder="1" applyAlignment="1">
      <alignment vertical="top" wrapText="1"/>
    </xf>
    <xf numFmtId="0" fontId="5" fillId="2" borderId="2" xfId="0" applyFont="1" applyFill="1" applyBorder="1" applyAlignment="1">
      <alignment vertical="top" wrapText="1"/>
    </xf>
    <xf numFmtId="0" fontId="0" fillId="2" borderId="3" xfId="0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0" fillId="0" borderId="2" xfId="0" applyBorder="1" applyAlignment="1">
      <alignment vertical="center"/>
    </xf>
    <xf numFmtId="0" fontId="6" fillId="0" borderId="0" xfId="0" applyFont="1"/>
    <xf numFmtId="1" fontId="0" fillId="2" borderId="3" xfId="0" applyNumberFormat="1" applyFill="1" applyBorder="1" applyAlignment="1">
      <alignment vertical="top" wrapText="1"/>
    </xf>
    <xf numFmtId="0" fontId="5" fillId="2" borderId="0" xfId="0" applyFont="1" applyFill="1" applyAlignment="1">
      <alignment vertical="top" wrapText="1"/>
    </xf>
    <xf numFmtId="0" fontId="0" fillId="2" borderId="0" xfId="0" applyFill="1" applyAlignment="1">
      <alignment vertical="top"/>
    </xf>
    <xf numFmtId="0" fontId="7" fillId="0" borderId="0" xfId="0" applyFont="1" applyAlignment="1">
      <alignment horizontal="left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8" fillId="2" borderId="0" xfId="0" applyFont="1" applyFill="1" applyAlignment="1">
      <alignment vertical="top" wrapText="1"/>
    </xf>
  </cellXfs>
  <cellStyles count="3">
    <cellStyle name="Prozent 2" xfId="2" xr:uid="{14F65E2A-51C3-4E54-BF4F-7504ECE3EA44}"/>
    <cellStyle name="Standard" xfId="0" builtinId="0"/>
    <cellStyle name="Standard 2" xfId="1" xr:uid="{0565C71A-C6ED-43E0-B84E-586BCA2B7FCF}"/>
  </cellStyles>
  <dxfs count="6">
    <dxf>
      <fill>
        <patternFill>
          <bgColor rgb="FFFCF6A6"/>
        </patternFill>
      </fill>
    </dxf>
    <dxf>
      <font>
        <color auto="1"/>
      </font>
      <fill>
        <patternFill>
          <bgColor rgb="FFFF5B5B"/>
        </patternFill>
      </fill>
    </dxf>
    <dxf>
      <fill>
        <patternFill>
          <bgColor rgb="FFC9E7A7"/>
        </patternFill>
      </fill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</dxf>
  </dxfs>
  <tableStyles count="0" defaultTableStyle="TableStyleMedium2" defaultPivotStyle="PivotStyleLight16"/>
  <colors>
    <mruColors>
      <color rgb="FFC9E7A7"/>
      <color rgb="FFFF5B5B"/>
      <color rgb="FFFCF6A6"/>
      <color rgb="FF9C1838"/>
      <color rgb="FFD60000"/>
      <color rgb="FFA7D971"/>
      <color rgb="FFFAF17A"/>
      <color rgb="FF2F60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13558694036071"/>
          <c:y val="0.14927993856152733"/>
          <c:w val="0.76136680823661451"/>
          <c:h val="0.720175827549414"/>
        </c:manualLayout>
      </c:layout>
      <c:bubbleChart>
        <c:varyColors val="1"/>
        <c:ser>
          <c:idx val="1"/>
          <c:order val="0"/>
          <c:tx>
            <c:strRef>
              <c:f>Stakeholderanalyse!$A$4</c:f>
              <c:strCache>
                <c:ptCount val="1"/>
                <c:pt idx="0">
                  <c:v>Management</c:v>
                </c:pt>
              </c:strCache>
            </c:strRef>
          </c:tx>
          <c:spPr>
            <a:solidFill>
              <a:schemeClr val="accent2">
                <a:alpha val="75000"/>
              </a:schemeClr>
            </a:solidFill>
            <a:ln w="25400"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75000"/>
                </a:schemeClr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243F-4B07-B2A2-E051AC77C881}"/>
              </c:ext>
            </c:extLst>
          </c:dPt>
          <c:dLbls>
            <c:dLbl>
              <c:idx val="0"/>
              <c:layout>
                <c:manualLayout>
                  <c:x val="-2.0237539861917297E-2"/>
                  <c:y val="5.1605357271316502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492769637453755"/>
                      <c:h val="4.46741155997684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5-243F-4B07-B2A2-E051AC77C8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Stakeholderanalyse!$E$4</c:f>
              <c:numCache>
                <c:formatCode>0</c:formatCode>
                <c:ptCount val="1"/>
                <c:pt idx="0">
                  <c:v>5</c:v>
                </c:pt>
              </c:numCache>
            </c:numRef>
          </c:xVal>
          <c:yVal>
            <c:numRef>
              <c:f>Stakeholderanalyse!$B$4</c:f>
              <c:numCache>
                <c:formatCode>0</c:formatCode>
                <c:ptCount val="1"/>
                <c:pt idx="0">
                  <c:v>5</c:v>
                </c:pt>
              </c:numCache>
            </c:numRef>
          </c:yVal>
          <c:bubbleSize>
            <c:numRef>
              <c:f>Stakeholderanalyse!$I$4</c:f>
              <c:numCache>
                <c:formatCode>General</c:formatCode>
                <c:ptCount val="1"/>
                <c:pt idx="0">
                  <c:v>5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14-243F-4B07-B2A2-E051AC77C881}"/>
            </c:ext>
          </c:extLst>
        </c:ser>
        <c:ser>
          <c:idx val="0"/>
          <c:order val="1"/>
          <c:tx>
            <c:strRef>
              <c:f>Stakeholderanalyse!$A$5</c:f>
              <c:strCache>
                <c:ptCount val="1"/>
                <c:pt idx="0">
                  <c:v>Ärztliche Direktion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5638602789905285E-2"/>
                  <c:y val="-7.9782286988603082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755-44A9-88A1-6C5CCB3CEE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Stakeholderanalyse!$E$5</c:f>
              <c:numCache>
                <c:formatCode>0</c:formatCode>
                <c:ptCount val="1"/>
                <c:pt idx="0">
                  <c:v>5</c:v>
                </c:pt>
              </c:numCache>
            </c:numRef>
          </c:xVal>
          <c:yVal>
            <c:numRef>
              <c:f>Stakeholderanalyse!$B$5</c:f>
              <c:numCache>
                <c:formatCode>0</c:formatCode>
                <c:ptCount val="1"/>
                <c:pt idx="0">
                  <c:v>5</c:v>
                </c:pt>
              </c:numCache>
            </c:numRef>
          </c:yVal>
          <c:bubbleSize>
            <c:numRef>
              <c:f>Stakeholderanalyse!$I$5</c:f>
              <c:numCache>
                <c:formatCode>General</c:formatCode>
                <c:ptCount val="1"/>
                <c:pt idx="0">
                  <c:v>5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17-243F-4B07-B2A2-E051AC77C881}"/>
            </c:ext>
          </c:extLst>
        </c:ser>
        <c:ser>
          <c:idx val="2"/>
          <c:order val="2"/>
          <c:tx>
            <c:strRef>
              <c:f>Stakeholderanalyse!$A$6</c:f>
              <c:strCache>
                <c:ptCount val="1"/>
                <c:pt idx="0">
                  <c:v>Ärzte</c:v>
                </c:pt>
              </c:strCache>
            </c:strRef>
          </c:tx>
          <c:spPr>
            <a:solidFill>
              <a:schemeClr val="accent3"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1506958881157858E-2"/>
                  <c:y val="-8.4290784150506504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755-44A9-88A1-6C5CCB3CEE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Stakeholderanalyse!$E$6</c:f>
              <c:numCache>
                <c:formatCode>0</c:formatCode>
                <c:ptCount val="1"/>
                <c:pt idx="0">
                  <c:v>4</c:v>
                </c:pt>
              </c:numCache>
            </c:numRef>
          </c:xVal>
          <c:yVal>
            <c:numRef>
              <c:f>Stakeholderanalyse!$B$6</c:f>
              <c:numCache>
                <c:formatCode>0</c:formatCode>
                <c:ptCount val="1"/>
                <c:pt idx="0">
                  <c:v>5</c:v>
                </c:pt>
              </c:numCache>
            </c:numRef>
          </c:yVal>
          <c:bubbleSize>
            <c:numRef>
              <c:f>Stakeholderanalyse!$I$6</c:f>
              <c:numCache>
                <c:formatCode>General</c:formatCode>
                <c:ptCount val="1"/>
                <c:pt idx="0">
                  <c:v>3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18-243F-4B07-B2A2-E051AC77C881}"/>
            </c:ext>
          </c:extLst>
        </c:ser>
        <c:ser>
          <c:idx val="3"/>
          <c:order val="3"/>
          <c:tx>
            <c:strRef>
              <c:f>Stakeholderanalyse!$A$7</c:f>
              <c:strCache>
                <c:ptCount val="1"/>
                <c:pt idx="0">
                  <c:v>Pflegefachkräfte</c:v>
                </c:pt>
              </c:strCache>
            </c:strRef>
          </c:tx>
          <c:spPr>
            <a:solidFill>
              <a:schemeClr val="accent4"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9.9830821777550857E-2"/>
                  <c:y val="-6.8629226742851657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755-44A9-88A1-6C5CCB3CEE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Stakeholderanalyse!$E$7</c:f>
              <c:numCache>
                <c:formatCode>0</c:formatCode>
                <c:ptCount val="1"/>
                <c:pt idx="0">
                  <c:v>2</c:v>
                </c:pt>
              </c:numCache>
            </c:numRef>
          </c:xVal>
          <c:yVal>
            <c:numRef>
              <c:f>Stakeholderanalyse!$B$7</c:f>
              <c:numCache>
                <c:formatCode>0</c:formatCode>
                <c:ptCount val="1"/>
                <c:pt idx="0">
                  <c:v>3</c:v>
                </c:pt>
              </c:numCache>
            </c:numRef>
          </c:yVal>
          <c:bubbleSize>
            <c:numRef>
              <c:f>Stakeholderanalyse!$I$7</c:f>
              <c:numCache>
                <c:formatCode>General</c:formatCode>
                <c:ptCount val="1"/>
                <c:pt idx="0">
                  <c:v>1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19-243F-4B07-B2A2-E051AC77C881}"/>
            </c:ext>
          </c:extLst>
        </c:ser>
        <c:ser>
          <c:idx val="4"/>
          <c:order val="4"/>
          <c:tx>
            <c:strRef>
              <c:f>Stakeholderanalyse!$A$9</c:f>
              <c:strCache>
                <c:ptCount val="1"/>
                <c:pt idx="0">
                  <c:v>Politik </c:v>
                </c:pt>
              </c:strCache>
            </c:strRef>
          </c:tx>
          <c:spPr>
            <a:solidFill>
              <a:schemeClr val="accent5"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2538649568562809E-2"/>
                  <c:y val="7.607751754755567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ctr">
                    <a:defRPr lang="en-US"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465379240652578"/>
                      <c:h val="8.93482311995368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7755-44A9-88A1-6C5CCB3CEE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Stakeholderanalyse!$E$9</c:f>
              <c:numCache>
                <c:formatCode>0</c:formatCode>
                <c:ptCount val="1"/>
                <c:pt idx="0">
                  <c:v>5</c:v>
                </c:pt>
              </c:numCache>
            </c:numRef>
          </c:xVal>
          <c:yVal>
            <c:numRef>
              <c:f>Stakeholderanalyse!$B$9</c:f>
              <c:numCache>
                <c:formatCode>0</c:formatCode>
                <c:ptCount val="1"/>
                <c:pt idx="0">
                  <c:v>5</c:v>
                </c:pt>
              </c:numCache>
            </c:numRef>
          </c:yVal>
          <c:bubbleSize>
            <c:numRef>
              <c:f>Stakeholderanalyse!$I$9</c:f>
              <c:numCache>
                <c:formatCode>General</c:formatCode>
                <c:ptCount val="1"/>
                <c:pt idx="0">
                  <c:v>5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1A-243F-4B07-B2A2-E051AC77C881}"/>
            </c:ext>
          </c:extLst>
        </c:ser>
        <c:ser>
          <c:idx val="5"/>
          <c:order val="5"/>
          <c:tx>
            <c:strRef>
              <c:f>Stakeholderanalyse!$A$10</c:f>
              <c:strCache>
                <c:ptCount val="1"/>
                <c:pt idx="0">
                  <c:v>Krankenkassen</c:v>
                </c:pt>
              </c:strCache>
            </c:strRef>
          </c:tx>
          <c:spPr>
            <a:solidFill>
              <a:schemeClr val="accent6"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30132380000249881"/>
                  <c:y val="-3.8066805745390023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95C-4F55-A664-DC775284F2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Stakeholderanalyse!$E$10</c:f>
              <c:numCache>
                <c:formatCode>0</c:formatCode>
                <c:ptCount val="1"/>
                <c:pt idx="0">
                  <c:v>5</c:v>
                </c:pt>
              </c:numCache>
            </c:numRef>
          </c:xVal>
          <c:yVal>
            <c:numRef>
              <c:f>Stakeholderanalyse!$B$10</c:f>
              <c:numCache>
                <c:formatCode>0</c:formatCode>
                <c:ptCount val="1"/>
                <c:pt idx="0">
                  <c:v>5</c:v>
                </c:pt>
              </c:numCache>
            </c:numRef>
          </c:yVal>
          <c:bubbleSize>
            <c:numRef>
              <c:f>Stakeholderanalyse!$I$10</c:f>
              <c:numCache>
                <c:formatCode>General</c:formatCode>
                <c:ptCount val="1"/>
                <c:pt idx="0">
                  <c:v>5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1B-243F-4B07-B2A2-E051AC77C881}"/>
            </c:ext>
          </c:extLst>
        </c:ser>
        <c:ser>
          <c:idx val="6"/>
          <c:order val="6"/>
          <c:tx>
            <c:strRef>
              <c:f>Stakeholderanalyse!$A$11</c:f>
              <c:strCache>
                <c:ptCount val="1"/>
                <c:pt idx="0">
                  <c:v>Patienten</c:v>
                </c:pt>
              </c:strCache>
            </c:strRef>
          </c:tx>
          <c:spPr>
            <a:solidFill>
              <a:schemeClr val="accent1">
                <a:lumMod val="60000"/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21358893524872422"/>
                  <c:y val="-0.1250766474491386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ctr">
                    <a:defRPr lang="en-US"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632618552343498"/>
                      <c:h val="3.923600049328414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795C-4F55-A664-DC775284F2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Stakeholderanalyse!$E$11</c:f>
              <c:numCache>
                <c:formatCode>0</c:formatCode>
                <c:ptCount val="1"/>
                <c:pt idx="0">
                  <c:v>2</c:v>
                </c:pt>
              </c:numCache>
            </c:numRef>
          </c:xVal>
          <c:yVal>
            <c:numRef>
              <c:f>Stakeholderanalyse!$B$11</c:f>
              <c:numCache>
                <c:formatCode>General</c:formatCode>
                <c:ptCount val="1"/>
                <c:pt idx="0">
                  <c:v>3</c:v>
                </c:pt>
              </c:numCache>
            </c:numRef>
          </c:yVal>
          <c:bubbleSize>
            <c:numRef>
              <c:f>Stakeholderanalyse!$I$11</c:f>
              <c:numCache>
                <c:formatCode>General</c:formatCode>
                <c:ptCount val="1"/>
                <c:pt idx="0">
                  <c:v>1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1D-243F-4B07-B2A2-E051AC77C881}"/>
            </c:ext>
          </c:extLst>
        </c:ser>
        <c:ser>
          <c:idx val="7"/>
          <c:order val="7"/>
          <c:tx>
            <c:strRef>
              <c:f>Stakeholderanalyse!$A$8</c:f>
              <c:strCache>
                <c:ptCount val="1"/>
                <c:pt idx="0">
                  <c:v>IT-Abteilung </c:v>
                </c:pt>
              </c:strCache>
            </c:strRef>
          </c:tx>
          <c:spPr>
            <a:solidFill>
              <a:schemeClr val="accent2">
                <a:lumMod val="60000"/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14654870285049104"/>
                  <c:y val="-9.108842803361183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algn="ctr">
                      <a:defRPr lang="en-US" sz="11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0FB4A3E-3FE1-41D4-96A3-E37A7FB5F49D}" type="SERIESNAME">
                      <a:rPr lang="en-US" sz="11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rPr>
                      <a:pPr algn="ctr">
                        <a:defRPr lang="en-US" sz="1100"/>
                      </a:pPr>
                      <a:t>[DATENREIHENNAME]</a:t>
                    </a:fld>
                    <a:endParaRPr lang="de-DE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ctr">
                    <a:defRPr lang="en-US"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947966631930319"/>
                      <c:h val="7.3373875123749238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795C-4F55-A664-DC775284F2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Stakeholderanalyse!$E$8</c:f>
              <c:numCache>
                <c:formatCode>0</c:formatCode>
                <c:ptCount val="1"/>
                <c:pt idx="0">
                  <c:v>5</c:v>
                </c:pt>
              </c:numCache>
            </c:numRef>
          </c:xVal>
          <c:yVal>
            <c:numRef>
              <c:f>Stakeholderanalyse!$B$8</c:f>
              <c:numCache>
                <c:formatCode>General</c:formatCode>
                <c:ptCount val="1"/>
                <c:pt idx="0">
                  <c:v>2</c:v>
                </c:pt>
              </c:numCache>
            </c:numRef>
          </c:yVal>
          <c:bubbleSize>
            <c:numRef>
              <c:f>Stakeholderanalyse!$I$8</c:f>
              <c:numCache>
                <c:formatCode>General</c:formatCode>
                <c:ptCount val="1"/>
                <c:pt idx="0">
                  <c:v>5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1E-243F-4B07-B2A2-E051AC77C881}"/>
            </c:ext>
          </c:extLst>
        </c:ser>
        <c:ser>
          <c:idx val="8"/>
          <c:order val="8"/>
          <c:tx>
            <c:strRef>
              <c:f>Stakeholderanalyse!$A$12</c:f>
              <c:strCache>
                <c:ptCount val="1"/>
                <c:pt idx="0">
                  <c:v>Forschung</c:v>
                </c:pt>
              </c:strCache>
            </c:strRef>
          </c:tx>
          <c:spPr>
            <a:solidFill>
              <a:schemeClr val="accent3">
                <a:lumMod val="60000"/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15685906621837653"/>
                  <c:y val="-8.4290784150506476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95C-4F55-A664-DC775284F2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Stakeholderanalyse!$E$12</c:f>
              <c:numCache>
                <c:formatCode>0</c:formatCode>
                <c:ptCount val="1"/>
                <c:pt idx="0">
                  <c:v>2</c:v>
                </c:pt>
              </c:numCache>
            </c:numRef>
          </c:xVal>
          <c:yVal>
            <c:numRef>
              <c:f>Stakeholderanalyse!$B$12</c:f>
              <c:numCache>
                <c:formatCode>General</c:formatCode>
                <c:ptCount val="1"/>
                <c:pt idx="0">
                  <c:v>5</c:v>
                </c:pt>
              </c:numCache>
            </c:numRef>
          </c:yVal>
          <c:bubbleSize>
            <c:numRef>
              <c:f>Stakeholderanalyse!$I$12</c:f>
              <c:numCache>
                <c:formatCode>General</c:formatCode>
                <c:ptCount val="1"/>
                <c:pt idx="0">
                  <c:v>3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1F-243F-4B07-B2A2-E051AC77C881}"/>
            </c:ext>
          </c:extLst>
        </c:ser>
        <c:ser>
          <c:idx val="9"/>
          <c:order val="9"/>
          <c:tx>
            <c:strRef>
              <c:f>Stakeholderanalyse!$A$13</c:f>
              <c:strCache>
                <c:ptCount val="1"/>
                <c:pt idx="0">
                  <c:v>(Stakeholder Name)</c:v>
                </c:pt>
              </c:strCache>
            </c:strRef>
          </c:tx>
          <c:spPr>
            <a:solidFill>
              <a:schemeClr val="accent4">
                <a:lumMod val="60000"/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1547814500706127"/>
                  <c:y val="-0.11148135968292791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95C-4F55-A664-DC775284F2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Stakeholderanalyse!$E$13</c:f>
            </c:numRef>
          </c:xVal>
          <c:yVal>
            <c:numRef>
              <c:f>Stakeholderanalyse!$B$13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bubbleSize>
            <c:numRef>
              <c:f>Stakeholderanalyse!$I$13</c:f>
              <c:numCache>
                <c:formatCode>General</c:formatCode>
                <c:ptCount val="1"/>
                <c:pt idx="0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20-243F-4B07-B2A2-E051AC77C881}"/>
            </c:ext>
          </c:extLst>
        </c:ser>
        <c:ser>
          <c:idx val="10"/>
          <c:order val="10"/>
          <c:tx>
            <c:strRef>
              <c:f>Stakeholderanalyse!$A$14</c:f>
              <c:strCache>
                <c:ptCount val="1"/>
                <c:pt idx="0">
                  <c:v>(Stakeholder Name)</c:v>
                </c:pt>
              </c:strCache>
            </c:strRef>
          </c:tx>
          <c:spPr>
            <a:solidFill>
              <a:schemeClr val="accent5">
                <a:lumMod val="60000"/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Stakeholderanalyse!$E$14</c:f>
            </c:numRef>
          </c:xVal>
          <c:yVal>
            <c:numRef>
              <c:f>Stakeholderanalyse!$B$14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bubbleSize>
            <c:numRef>
              <c:f>Stakeholderanalyse!$I$14</c:f>
              <c:numCache>
                <c:formatCode>General</c:formatCode>
                <c:ptCount val="1"/>
                <c:pt idx="0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21-243F-4B07-B2A2-E051AC77C881}"/>
            </c:ext>
          </c:extLst>
        </c:ser>
        <c:ser>
          <c:idx val="11"/>
          <c:order val="11"/>
          <c:tx>
            <c:strRef>
              <c:f>Stakeholderanalyse!$A$15</c:f>
              <c:strCache>
                <c:ptCount val="1"/>
                <c:pt idx="0">
                  <c:v>(Stakeholder Name)</c:v>
                </c:pt>
              </c:strCache>
            </c:strRef>
          </c:tx>
          <c:spPr>
            <a:solidFill>
              <a:schemeClr val="accent6">
                <a:lumMod val="60000"/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Stakeholderanalyse!$E$15</c:f>
            </c:numRef>
          </c:xVal>
          <c:yVal>
            <c:numRef>
              <c:f>Stakeholderanalyse!$B$15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bubbleSize>
            <c:numRef>
              <c:f>Stakeholderanalyse!$I$15</c:f>
              <c:numCache>
                <c:formatCode>General</c:formatCode>
                <c:ptCount val="1"/>
                <c:pt idx="0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22-243F-4B07-B2A2-E051AC77C881}"/>
            </c:ext>
          </c:extLst>
        </c:ser>
        <c:ser>
          <c:idx val="12"/>
          <c:order val="12"/>
          <c:tx>
            <c:strRef>
              <c:f>Stakeholderanalyse!$A$16</c:f>
              <c:strCache>
                <c:ptCount val="1"/>
                <c:pt idx="0">
                  <c:v>(Stakeholder Name)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Stakeholderanalyse!$E$16</c:f>
            </c:numRef>
          </c:xVal>
          <c:yVal>
            <c:numRef>
              <c:f>Stakeholderanalyse!$B$16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bubbleSize>
            <c:numRef>
              <c:f>Stakeholderanalyse!$I$16</c:f>
              <c:numCache>
                <c:formatCode>General</c:formatCode>
                <c:ptCount val="1"/>
                <c:pt idx="0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23-243F-4B07-B2A2-E051AC77C881}"/>
            </c:ext>
          </c:extLst>
        </c:ser>
        <c:ser>
          <c:idx val="13"/>
          <c:order val="13"/>
          <c:tx>
            <c:strRef>
              <c:f>Stakeholderanalyse!$A$17</c:f>
              <c:strCache>
                <c:ptCount val="1"/>
                <c:pt idx="0">
                  <c:v>(Stakeholder Name)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Stakeholderanalyse!$E$17</c:f>
            </c:numRef>
          </c:xVal>
          <c:yVal>
            <c:numRef>
              <c:f>Stakeholderanalyse!$B$17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bubbleSize>
            <c:numRef>
              <c:f>Stakeholderanalyse!$I$17</c:f>
              <c:numCache>
                <c:formatCode>General</c:formatCode>
                <c:ptCount val="1"/>
                <c:pt idx="0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24-243F-4B07-B2A2-E051AC77C881}"/>
            </c:ext>
          </c:extLst>
        </c:ser>
        <c:ser>
          <c:idx val="14"/>
          <c:order val="14"/>
          <c:tx>
            <c:strRef>
              <c:f>Stakeholderanalyse!$A$18</c:f>
              <c:strCache>
                <c:ptCount val="1"/>
                <c:pt idx="0">
                  <c:v>(Stakeholder Name)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Stakeholderanalyse!$E$18</c:f>
            </c:numRef>
          </c:xVal>
          <c:yVal>
            <c:numRef>
              <c:f>Stakeholderanalyse!$B$18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bubbleSize>
            <c:numRef>
              <c:f>Stakeholderanalyse!$I$18</c:f>
              <c:numCache>
                <c:formatCode>General</c:formatCode>
                <c:ptCount val="1"/>
                <c:pt idx="0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25-243F-4B07-B2A2-E051AC77C881}"/>
            </c:ext>
          </c:extLst>
        </c:ser>
        <c:ser>
          <c:idx val="15"/>
          <c:order val="15"/>
          <c:tx>
            <c:strRef>
              <c:f>Stakeholderanalyse!$A$19</c:f>
              <c:strCache>
                <c:ptCount val="1"/>
                <c:pt idx="0">
                  <c:v>(Stakeholder Name)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Stakeholderanalyse!$E$19</c:f>
            </c:numRef>
          </c:xVal>
          <c:yVal>
            <c:numRef>
              <c:f>Stakeholderanalyse!$B$19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bubbleSize>
            <c:numRef>
              <c:f>Stakeholderanalyse!$I$19</c:f>
              <c:numCache>
                <c:formatCode>General</c:formatCode>
                <c:ptCount val="1"/>
                <c:pt idx="0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26-243F-4B07-B2A2-E051AC77C881}"/>
            </c:ext>
          </c:extLst>
        </c:ser>
        <c:ser>
          <c:idx val="16"/>
          <c:order val="16"/>
          <c:tx>
            <c:strRef>
              <c:f>Stakeholderanalyse!$A$20</c:f>
              <c:strCache>
                <c:ptCount val="1"/>
                <c:pt idx="0">
                  <c:v>(Stakeholder Name)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Stakeholderanalyse!$E$20</c:f>
            </c:numRef>
          </c:xVal>
          <c:yVal>
            <c:numRef>
              <c:f>Stakeholderanalyse!$B$20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bubbleSize>
            <c:numRef>
              <c:f>Stakeholderanalyse!$I$20</c:f>
              <c:numCache>
                <c:formatCode>General</c:formatCode>
                <c:ptCount val="1"/>
                <c:pt idx="0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27-243F-4B07-B2A2-E051AC77C881}"/>
            </c:ext>
          </c:extLst>
        </c:ser>
        <c:ser>
          <c:idx val="17"/>
          <c:order val="17"/>
          <c:tx>
            <c:strRef>
              <c:f>Stakeholderanalyse!$A$21</c:f>
              <c:strCache>
                <c:ptCount val="1"/>
                <c:pt idx="0">
                  <c:v>(Stakeholder Name)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Stakeholderanalyse!$E$21</c:f>
            </c:numRef>
          </c:xVal>
          <c:yVal>
            <c:numRef>
              <c:f>Stakeholderanalyse!$B$21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bubbleSize>
            <c:numRef>
              <c:f>Stakeholderanalyse!$I$21</c:f>
              <c:numCache>
                <c:formatCode>General</c:formatCode>
                <c:ptCount val="1"/>
                <c:pt idx="0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28-243F-4B07-B2A2-E051AC77C881}"/>
            </c:ext>
          </c:extLst>
        </c:ser>
        <c:ser>
          <c:idx val="18"/>
          <c:order val="18"/>
          <c:tx>
            <c:strRef>
              <c:f>Stakeholderanalyse!$A$22</c:f>
              <c:strCache>
                <c:ptCount val="1"/>
                <c:pt idx="0">
                  <c:v>(Stakeholder Name)</c:v>
                </c:pt>
              </c:strCache>
            </c:strRef>
          </c:tx>
          <c:spPr>
            <a:solidFill>
              <a:schemeClr val="accent1">
                <a:lumMod val="80000"/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Stakeholderanalyse!$E$22</c:f>
            </c:numRef>
          </c:xVal>
          <c:yVal>
            <c:numRef>
              <c:f>Stakeholderanalyse!$B$22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bubbleSize>
            <c:numRef>
              <c:f>Stakeholderanalyse!$I$22</c:f>
              <c:numCache>
                <c:formatCode>General</c:formatCode>
                <c:ptCount val="1"/>
                <c:pt idx="0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29-243F-4B07-B2A2-E051AC77C881}"/>
            </c:ext>
          </c:extLst>
        </c:ser>
        <c:ser>
          <c:idx val="19"/>
          <c:order val="19"/>
          <c:tx>
            <c:strRef>
              <c:f>Stakeholderanalyse!$A$23</c:f>
              <c:strCache>
                <c:ptCount val="1"/>
                <c:pt idx="0">
                  <c:v>(Stakeholder Name)</c:v>
                </c:pt>
              </c:strCache>
            </c:strRef>
          </c:tx>
          <c:spPr>
            <a:solidFill>
              <a:schemeClr val="accent2">
                <a:lumMod val="80000"/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Stakeholderanalyse!$E$23</c:f>
            </c:numRef>
          </c:xVal>
          <c:yVal>
            <c:numRef>
              <c:f>Stakeholderanalyse!$B$23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bubbleSize>
            <c:numRef>
              <c:f>Stakeholderanalyse!$I$23</c:f>
              <c:numCache>
                <c:formatCode>General</c:formatCode>
                <c:ptCount val="1"/>
                <c:pt idx="0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2A-243F-4B07-B2A2-E051AC77C881}"/>
            </c:ext>
          </c:extLst>
        </c:ser>
        <c:ser>
          <c:idx val="20"/>
          <c:order val="20"/>
          <c:tx>
            <c:strRef>
              <c:f>Stakeholderanalyse!$A$24</c:f>
              <c:strCache>
                <c:ptCount val="1"/>
                <c:pt idx="0">
                  <c:v>(Stakeholder Name)</c:v>
                </c:pt>
              </c:strCache>
            </c:strRef>
          </c:tx>
          <c:spPr>
            <a:solidFill>
              <a:schemeClr val="accent3">
                <a:lumMod val="80000"/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Stakeholderanalyse!$E$24</c:f>
            </c:numRef>
          </c:xVal>
          <c:yVal>
            <c:numRef>
              <c:f>Stakeholderanalyse!$B$24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bubbleSize>
            <c:numRef>
              <c:f>Stakeholderanalyse!$I$24</c:f>
              <c:numCache>
                <c:formatCode>General</c:formatCode>
                <c:ptCount val="1"/>
                <c:pt idx="0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2B-243F-4B07-B2A2-E051AC77C881}"/>
            </c:ext>
          </c:extLst>
        </c:ser>
        <c:ser>
          <c:idx val="21"/>
          <c:order val="21"/>
          <c:tx>
            <c:strRef>
              <c:f>Stakeholderanalyse!$A$25</c:f>
              <c:strCache>
                <c:ptCount val="1"/>
                <c:pt idx="0">
                  <c:v>(Stakeholder Name)</c:v>
                </c:pt>
              </c:strCache>
            </c:strRef>
          </c:tx>
          <c:spPr>
            <a:solidFill>
              <a:schemeClr val="accent4">
                <a:lumMod val="80000"/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Stakeholderanalyse!$E$25</c:f>
            </c:numRef>
          </c:xVal>
          <c:yVal>
            <c:numRef>
              <c:f>Stakeholderanalyse!$B$25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bubbleSize>
            <c:numRef>
              <c:f>Stakeholderanalyse!$I$25</c:f>
              <c:numCache>
                <c:formatCode>General</c:formatCode>
                <c:ptCount val="1"/>
                <c:pt idx="0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2D-243F-4B07-B2A2-E051AC77C881}"/>
            </c:ext>
          </c:extLst>
        </c:ser>
        <c:ser>
          <c:idx val="22"/>
          <c:order val="22"/>
          <c:tx>
            <c:strRef>
              <c:f>Stakeholderanalyse!$A$26</c:f>
              <c:strCache>
                <c:ptCount val="1"/>
                <c:pt idx="0">
                  <c:v>(Stakeholder Name)</c:v>
                </c:pt>
              </c:strCache>
            </c:strRef>
          </c:tx>
          <c:spPr>
            <a:solidFill>
              <a:schemeClr val="accent5">
                <a:lumMod val="80000"/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Stakeholderanalyse!$E$26</c:f>
            </c:numRef>
          </c:xVal>
          <c:yVal>
            <c:numRef>
              <c:f>Stakeholderanalyse!$B$26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bubbleSize>
            <c:numRef>
              <c:f>Stakeholderanalyse!$I$26</c:f>
              <c:numCache>
                <c:formatCode>General</c:formatCode>
                <c:ptCount val="1"/>
                <c:pt idx="0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2E-243F-4B07-B2A2-E051AC77C881}"/>
            </c:ext>
          </c:extLst>
        </c:ser>
        <c:ser>
          <c:idx val="23"/>
          <c:order val="23"/>
          <c:tx>
            <c:strRef>
              <c:f>Stakeholderanalyse!$A$27</c:f>
              <c:strCache>
                <c:ptCount val="1"/>
                <c:pt idx="0">
                  <c:v>(Stakeholder Name)</c:v>
                </c:pt>
              </c:strCache>
            </c:strRef>
          </c:tx>
          <c:spPr>
            <a:solidFill>
              <a:schemeClr val="accent6">
                <a:lumMod val="80000"/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Stakeholderanalyse!$E$27</c:f>
            </c:numRef>
          </c:xVal>
          <c:yVal>
            <c:numRef>
              <c:f>Stakeholderanalyse!$B$27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bubbleSize>
            <c:numRef>
              <c:f>Stakeholderanalyse!$I$27</c:f>
              <c:numCache>
                <c:formatCode>General</c:formatCode>
                <c:ptCount val="1"/>
                <c:pt idx="0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2F-243F-4B07-B2A2-E051AC77C881}"/>
            </c:ext>
          </c:extLst>
        </c:ser>
        <c:ser>
          <c:idx val="24"/>
          <c:order val="24"/>
          <c:tx>
            <c:strRef>
              <c:f>Stakeholderanalyse!$A$28</c:f>
              <c:strCache>
                <c:ptCount val="1"/>
                <c:pt idx="0">
                  <c:v>(Stakeholder Name)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Stakeholderanalyse!$E$28</c:f>
            </c:numRef>
          </c:xVal>
          <c:yVal>
            <c:numRef>
              <c:f>Stakeholderanalyse!$B$28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bubbleSize>
            <c:numRef>
              <c:f>Stakeholderanalyse!$I$28</c:f>
              <c:numCache>
                <c:formatCode>General</c:formatCode>
                <c:ptCount val="1"/>
                <c:pt idx="0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30-243F-4B07-B2A2-E051AC77C881}"/>
            </c:ext>
          </c:extLst>
        </c:ser>
        <c:ser>
          <c:idx val="25"/>
          <c:order val="25"/>
          <c:tx>
            <c:strRef>
              <c:f>Stakeholderanalyse!$A$29</c:f>
              <c:strCache>
                <c:ptCount val="1"/>
                <c:pt idx="0">
                  <c:v>(Stakeholder Name)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Stakeholderanalyse!$E$29</c:f>
            </c:numRef>
          </c:xVal>
          <c:yVal>
            <c:numRef>
              <c:f>Stakeholderanalyse!$B$29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bubbleSize>
            <c:numRef>
              <c:f>Stakeholderanalyse!$I$29</c:f>
              <c:numCache>
                <c:formatCode>General</c:formatCode>
                <c:ptCount val="1"/>
                <c:pt idx="0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31-243F-4B07-B2A2-E051AC77C88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35"/>
        <c:showNegBubbles val="0"/>
        <c:axId val="592083200"/>
        <c:axId val="592078208"/>
      </c:bubbleChart>
      <c:valAx>
        <c:axId val="592083200"/>
        <c:scaling>
          <c:orientation val="minMax"/>
          <c:max val="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800"/>
                  <a:t>Einfluss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92078208"/>
        <c:crosses val="autoZero"/>
        <c:crossBetween val="midCat"/>
      </c:valAx>
      <c:valAx>
        <c:axId val="592078208"/>
        <c:scaling>
          <c:orientation val="minMax"/>
          <c:max val="6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800"/>
                  <a:t>Interesse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92083200"/>
        <c:crossesAt val="0"/>
        <c:crossBetween val="midCat"/>
        <c:minorUnit val="1"/>
      </c:valAx>
      <c:spPr>
        <a:blipFill>
          <a:blip xmlns:r="http://schemas.openxmlformats.org/officeDocument/2006/relationships" r:embed="rId3">
            <a:alphaModFix amt="40000"/>
          </a:blip>
          <a:stretch>
            <a:fillRect/>
          </a:stretch>
        </a:blipFill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34358</xdr:colOff>
      <xdr:row>6</xdr:row>
      <xdr:rowOff>68581</xdr:rowOff>
    </xdr:from>
    <xdr:to>
      <xdr:col>20</xdr:col>
      <xdr:colOff>242339</xdr:colOff>
      <xdr:row>40</xdr:row>
      <xdr:rowOff>1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1B13FDB3-4C0B-AFF6-8FE9-7B397481A4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sosnabrueck.sharepoint.com/Users/NoemiEberlein/Downloads/Tool_SWOT-Analyse_Vorlag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StärkenSchwächen"/>
      <sheetName val="StärkenSchwächen Diagramme"/>
      <sheetName val="Umweltanalyse"/>
      <sheetName val="SWOT"/>
      <sheetName val="Pivot-Analysen"/>
      <sheetName val="Leitfragen StrategiePlanung"/>
      <sheetName val="Leitfragen MarktKunden"/>
      <sheetName val="Leitfragen Besch_Prod_Tech"/>
      <sheetName val="Leitfragen Finanzsicht"/>
      <sheetName val="Leitfragen OrgInformation"/>
      <sheetName val="Leitfragen PersonalFührung"/>
      <sheetName val="Leitfragen Unternehmenskultur"/>
      <sheetName val="Basisdaten"/>
      <sheetName val="Tool_SWOT-Analyse_Vorl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213A6B-C958-49E4-B113-67994E9464C6}" name="Tabelle6" displayName="Tabelle6" ref="H33:H36" totalsRowShown="0" headerRowDxfId="5" dataDxfId="4">
  <autoFilter ref="H33:H36" xr:uid="{1D213A6B-C958-49E4-B113-67994E9464C6}"/>
  <tableColumns count="1">
    <tableColumn id="1" xr3:uid="{01E90ABE-F232-4766-9CD1-D569A3FEE684}" name="Legende Risiko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Design projektmagazin Excel Tool">
  <a:themeElements>
    <a:clrScheme name="Benutzerdefiniert 1">
      <a:dk1>
        <a:sysClr val="windowText" lastClr="000000"/>
      </a:dk1>
      <a:lt1>
        <a:sysClr val="window" lastClr="FFFFFF"/>
      </a:lt1>
      <a:dk2>
        <a:srgbClr val="9D9D9C"/>
      </a:dk2>
      <a:lt2>
        <a:srgbClr val="D8D8D8"/>
      </a:lt2>
      <a:accent1>
        <a:srgbClr val="751129"/>
      </a:accent1>
      <a:accent2>
        <a:srgbClr val="D8224D"/>
      </a:accent2>
      <a:accent3>
        <a:srgbClr val="2F607F"/>
      </a:accent3>
      <a:accent4>
        <a:srgbClr val="6BA4C8"/>
      </a:accent4>
      <a:accent5>
        <a:srgbClr val="9D9D9C"/>
      </a:accent5>
      <a:accent6>
        <a:srgbClr val="D8D8D8"/>
      </a:accent6>
      <a:hlink>
        <a:srgbClr val="2F607F"/>
      </a:hlink>
      <a:folHlink>
        <a:srgbClr val="9C1838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Subtile Körper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5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13751-035A-4A91-9761-0DB999052D7A}">
  <sheetPr codeName="Tabelle1"/>
  <dimension ref="A1:R38"/>
  <sheetViews>
    <sheetView tabSelected="1" zoomScale="61" zoomScaleNormal="100" workbookViewId="0">
      <selection activeCell="M49" sqref="M49"/>
    </sheetView>
  </sheetViews>
  <sheetFormatPr baseColWidth="10" defaultColWidth="11.42578125" defaultRowHeight="15" x14ac:dyDescent="0.25"/>
  <cols>
    <col min="1" max="1" width="42.5703125" style="1" customWidth="1"/>
    <col min="2" max="2" width="21.28515625" style="1" hidden="1" customWidth="1"/>
    <col min="3" max="3" width="20.7109375" style="1" customWidth="1"/>
    <col min="4" max="4" width="20.42578125" style="1" customWidth="1"/>
    <col min="5" max="5" width="20.42578125" style="1" hidden="1" customWidth="1"/>
    <col min="6" max="6" width="24.140625" style="1" customWidth="1"/>
    <col min="7" max="7" width="18" style="1" hidden="1" customWidth="1"/>
    <col min="8" max="9" width="23.7109375" style="1" hidden="1" customWidth="1"/>
    <col min="10" max="10" width="22.28515625" style="1" customWidth="1"/>
    <col min="11" max="11" width="24.42578125" style="1" customWidth="1"/>
    <col min="12" max="12" width="8.28515625" style="1" customWidth="1"/>
    <col min="13" max="16384" width="11.42578125" style="1"/>
  </cols>
  <sheetData>
    <row r="1" spans="1:18" ht="42.75" customHeight="1" x14ac:dyDescent="0.25">
      <c r="A1" s="18" t="s">
        <v>14</v>
      </c>
      <c r="B1" s="2"/>
      <c r="C1" s="17"/>
      <c r="D1" s="17"/>
      <c r="E1" s="17"/>
      <c r="F1" s="17"/>
      <c r="G1" s="17"/>
      <c r="H1" s="17"/>
      <c r="I1" s="17"/>
      <c r="J1" s="17"/>
      <c r="K1" s="17"/>
    </row>
    <row r="3" spans="1:18" s="7" customFormat="1" ht="18.75" x14ac:dyDescent="0.25">
      <c r="A3" s="6" t="s">
        <v>10</v>
      </c>
      <c r="B3" s="6" t="s">
        <v>7</v>
      </c>
      <c r="C3" s="6" t="s">
        <v>11</v>
      </c>
      <c r="D3" s="6" t="s">
        <v>0</v>
      </c>
      <c r="E3" s="6" t="s">
        <v>8</v>
      </c>
      <c r="F3" s="6" t="s">
        <v>1</v>
      </c>
      <c r="G3" s="6"/>
      <c r="H3" s="6" t="s">
        <v>2</v>
      </c>
      <c r="I3" s="6"/>
      <c r="J3" s="6" t="s">
        <v>12</v>
      </c>
      <c r="K3" s="6" t="s">
        <v>13</v>
      </c>
    </row>
    <row r="4" spans="1:18" x14ac:dyDescent="0.25">
      <c r="A4" s="4" t="s">
        <v>29</v>
      </c>
      <c r="B4" s="11">
        <f t="shared" ref="B4" si="0">IF(D4="hohes Interesse",5,IF(D4="eher hohes Interesse",4,IF(D4="mittleres Interesse",3,IF(D4="niedriges Interesse",2,IF(D4="kein Interesse",1,"")))))</f>
        <v>5</v>
      </c>
      <c r="C4" s="5" t="s">
        <v>32</v>
      </c>
      <c r="D4" s="3" t="s">
        <v>23</v>
      </c>
      <c r="E4" s="11">
        <f t="shared" ref="E4" si="1">IF(F4="hoher Einfluss",5,IF(F4="eher hoher Einfluss",4,IF(F4="mittlerer Einfluss",3,IF(F4="geringer Einfluss",2,IF(F4="kein Einfluss",1,"")))))</f>
        <v>5</v>
      </c>
      <c r="F4" s="3" t="s">
        <v>22</v>
      </c>
      <c r="G4" s="9">
        <f t="shared" ref="G4" si="2">IF(H4="hohes Risiko",5,IF(H4="eher hohes Risiko",4,IF(H4="mittleres Risiko",3,IF(H4="niedriges Risiko",2,1))))</f>
        <v>1</v>
      </c>
      <c r="H4" s="3"/>
      <c r="I4" s="5">
        <f t="shared" ref="I4" si="3">IF(J4="Hohe Priorität",5,IF(J4="Mittlere Priorität",3,IF(J4="Geringe Priorität",1,)))</f>
        <v>5</v>
      </c>
      <c r="J4" s="5" t="str">
        <f t="shared" ref="J4" si="4">IF(OR(AND(E4=2,B4&lt;=3),E4=1),"Geringe Priorität",IF(OR(AND(E4=2,B4&gt;=4),E4=4),"Mittlere Priorität",IF(OR(AND(E4=4,B4&lt;=2),E4=3),"Mittlere Priorität",IF(OR(AND(E4=4,B4&lt;=3),E4=5),"Hohe Priorität",""))))</f>
        <v>Hohe Priorität</v>
      </c>
      <c r="K4" s="5"/>
      <c r="M4" s="16" t="s">
        <v>36</v>
      </c>
      <c r="N4" s="16"/>
      <c r="O4" s="16" t="s">
        <v>37</v>
      </c>
      <c r="P4" s="16"/>
      <c r="Q4" s="16"/>
      <c r="R4" s="15"/>
    </row>
    <row r="5" spans="1:18" x14ac:dyDescent="0.25">
      <c r="A5" s="4" t="s">
        <v>15</v>
      </c>
      <c r="B5" s="11">
        <f t="shared" ref="B5:B29" si="5">IF(D5="hohes Interesse",5,IF(D5="eher hohes Interesse",4,IF(D5="mittleres Interesse",3,IF(D5="niedriges Interesse",2,IF(D5="kein Interesse",1,"")))))</f>
        <v>5</v>
      </c>
      <c r="C5" s="5" t="s">
        <v>32</v>
      </c>
      <c r="D5" s="3" t="s">
        <v>23</v>
      </c>
      <c r="E5" s="11">
        <f t="shared" ref="E5:E29" si="6">IF(F5="hoher Einfluss",5,IF(F5="eher hoher Einfluss",4,IF(F5="mittlerer Einfluss",3,IF(F5="geringer Einfluss",2,IF(F5="kein Einfluss",1,"")))))</f>
        <v>5</v>
      </c>
      <c r="F5" s="3" t="s">
        <v>22</v>
      </c>
      <c r="G5" s="9">
        <f t="shared" ref="G5:G29" si="7">IF(H5="hohes Risiko",5,IF(H5="eher hohes Risiko",4,IF(H5="mittleres Risiko",3,IF(H5="niedriges Risiko",2,1))))</f>
        <v>1</v>
      </c>
      <c r="H5" s="3"/>
      <c r="I5" s="5">
        <f t="shared" ref="I5:I29" si="8">IF(J5="Hohe Priorität",5,IF(J5="Mittlere Priorität",3,IF(J5="Geringe Priorität",1,)))</f>
        <v>5</v>
      </c>
      <c r="J5" s="5" t="str">
        <f t="shared" ref="J5:J9" si="9">IF(OR(AND(E5=2,B5&lt;=3),E5=1),"Geringe Priorität",IF(OR(AND(E5=2,B5&gt;=4),E5=4),"Mittlere Priorität",IF(OR(AND(E5=4,B5&lt;=2),E5=3),"Mittlere Priorität",IF(OR(AND(E5=4,B5&lt;=3),E5=5),"Hohe Priorität",""))))</f>
        <v>Hohe Priorität</v>
      </c>
      <c r="K5" s="5"/>
      <c r="M5" s="16" t="s">
        <v>34</v>
      </c>
      <c r="N5" s="16"/>
      <c r="O5" s="16" t="s">
        <v>35</v>
      </c>
      <c r="P5" s="16"/>
      <c r="Q5" s="16"/>
      <c r="R5" s="16"/>
    </row>
    <row r="6" spans="1:18" x14ac:dyDescent="0.25">
      <c r="A6" s="4" t="s">
        <v>18</v>
      </c>
      <c r="B6" s="11">
        <f t="shared" si="5"/>
        <v>5</v>
      </c>
      <c r="C6" s="5" t="s">
        <v>32</v>
      </c>
      <c r="D6" s="3" t="s">
        <v>23</v>
      </c>
      <c r="E6" s="11">
        <f t="shared" si="6"/>
        <v>4</v>
      </c>
      <c r="F6" s="3" t="s">
        <v>26</v>
      </c>
      <c r="G6" s="9">
        <f t="shared" si="7"/>
        <v>1</v>
      </c>
      <c r="H6" s="3"/>
      <c r="I6" s="5">
        <f t="shared" si="8"/>
        <v>3</v>
      </c>
      <c r="J6" s="5" t="str">
        <f t="shared" si="9"/>
        <v>Mittlere Priorität</v>
      </c>
      <c r="K6" s="5"/>
    </row>
    <row r="7" spans="1:18" x14ac:dyDescent="0.25">
      <c r="A7" s="4" t="s">
        <v>16</v>
      </c>
      <c r="B7" s="11">
        <f t="shared" si="5"/>
        <v>3</v>
      </c>
      <c r="C7" s="5" t="s">
        <v>32</v>
      </c>
      <c r="D7" s="3" t="s">
        <v>24</v>
      </c>
      <c r="E7" s="11">
        <f t="shared" si="6"/>
        <v>2</v>
      </c>
      <c r="F7" s="3" t="s">
        <v>25</v>
      </c>
      <c r="G7" s="9">
        <f t="shared" si="7"/>
        <v>1</v>
      </c>
      <c r="H7" s="3"/>
      <c r="I7" s="5">
        <f t="shared" si="8"/>
        <v>1</v>
      </c>
      <c r="J7" s="5" t="str">
        <f>IF(OR(AND(E7=2,B7&lt;=3),E7=1),"Geringe Priorität",IF(OR(AND(E7=2,B7&gt;=4),E7=4),"Mittlere Priorität",IF(OR(AND(E7=4,B7&lt;=2),E7=3),"Mittlere Priorität",IF(OR(AND(E7=4,B7&lt;=3),E7=5),"Hohe Priorität",""))))</f>
        <v>Geringe Priorität</v>
      </c>
      <c r="K7" s="5"/>
    </row>
    <row r="8" spans="1:18" x14ac:dyDescent="0.25">
      <c r="A8" s="4" t="s">
        <v>17</v>
      </c>
      <c r="B8" s="5">
        <f>IF(D8="hohes Interesse",5,IF(D8="eher hohes Interesse",4,IF(D8="mittleres Interesse",3,IF(D8="niedriges Interesse",2,IF(D8="kein Interesse",1,"")))))</f>
        <v>2</v>
      </c>
      <c r="C8" s="5" t="s">
        <v>32</v>
      </c>
      <c r="D8" s="3" t="s">
        <v>28</v>
      </c>
      <c r="E8" s="11">
        <f>IF(F8="hoher Einfluss",5,IF(F8="eher hoher Einfluss",4,IF(F8="mittlerer Einfluss",3,IF(F8="geringer Einfluss",2,IF(F8="kein Einfluss",1,"")))))</f>
        <v>5</v>
      </c>
      <c r="F8" s="3" t="s">
        <v>22</v>
      </c>
      <c r="G8" s="9">
        <f>IF(H8="hohes Risiko",5,IF(H8="eher hohes Risiko",4,IF(H8="mittleres Risiko",3,IF(H8="niedriges Risiko",2,1))))</f>
        <v>1</v>
      </c>
      <c r="H8" s="3"/>
      <c r="I8" s="5">
        <f>IF(J8="Hohe Priorität",5,IF(J8="Mittlere Priorität",3,IF(J8="Geringe Priorität",1,)))</f>
        <v>5</v>
      </c>
      <c r="J8" s="5" t="str">
        <f>IF(OR(AND(E8=2,B8&lt;=3),E8=1),"Geringe Priorität",IF(OR(AND(E8=2,B8&gt;=4),E8=4),"Mittlere Priorität",IF(OR(AND(E8=4,B8&lt;=2),E8=3),"Mittlere Priorität",IF(OR(AND(E8=4,B8&lt;=3),E8=5),"Hohe Priorität",""))))</f>
        <v>Hohe Priorität</v>
      </c>
      <c r="K8" s="5"/>
    </row>
    <row r="9" spans="1:18" x14ac:dyDescent="0.25">
      <c r="A9" s="4" t="s">
        <v>21</v>
      </c>
      <c r="B9" s="11">
        <f t="shared" si="5"/>
        <v>5</v>
      </c>
      <c r="C9" s="5" t="s">
        <v>31</v>
      </c>
      <c r="D9" s="3" t="s">
        <v>23</v>
      </c>
      <c r="E9" s="11">
        <f t="shared" si="6"/>
        <v>5</v>
      </c>
      <c r="F9" s="3" t="s">
        <v>22</v>
      </c>
      <c r="G9" s="9">
        <f t="shared" si="7"/>
        <v>1</v>
      </c>
      <c r="H9" s="3"/>
      <c r="I9" s="5">
        <f t="shared" si="8"/>
        <v>5</v>
      </c>
      <c r="J9" s="5" t="str">
        <f t="shared" si="9"/>
        <v>Hohe Priorität</v>
      </c>
      <c r="K9" s="5"/>
    </row>
    <row r="10" spans="1:18" x14ac:dyDescent="0.25">
      <c r="A10" s="4" t="s">
        <v>19</v>
      </c>
      <c r="B10" s="11">
        <f t="shared" si="5"/>
        <v>5</v>
      </c>
      <c r="C10" s="5" t="s">
        <v>30</v>
      </c>
      <c r="D10" s="3" t="s">
        <v>23</v>
      </c>
      <c r="E10" s="11">
        <f>IF(F10="hoher Einfluss",5,IF(F10="eher hoher Einfluss",4,IF(F10="mittlerer Einfluss",3,IF(F10="geringer Einfluss",2,IF(F10="kein Einfluss",1,"")))))</f>
        <v>5</v>
      </c>
      <c r="F10" s="3" t="s">
        <v>22</v>
      </c>
      <c r="G10" s="9">
        <f t="shared" si="7"/>
        <v>1</v>
      </c>
      <c r="H10" s="3"/>
      <c r="I10" s="5">
        <f t="shared" si="8"/>
        <v>5</v>
      </c>
      <c r="J10" s="5" t="str">
        <f t="shared" ref="J10:J29" si="10">IF(OR(AND(E10=2,B10&lt;=3),E10=1),"Geringe Priorität",IF(OR(AND(E10=2,B10&gt;=4),E10=4),"Mittlere Priorität",IF(OR(AND(E10=4,B10&lt;=2),E10=3),"Mittlere Priorität",IF(OR(AND(E10=4,B10&lt;=3),E10=5),"Hohe Priorität",""))))</f>
        <v>Hohe Priorität</v>
      </c>
      <c r="K10" s="5"/>
    </row>
    <row r="11" spans="1:18" x14ac:dyDescent="0.25">
      <c r="A11" s="4" t="s">
        <v>20</v>
      </c>
      <c r="B11" s="5">
        <f t="shared" si="5"/>
        <v>3</v>
      </c>
      <c r="C11" s="5" t="s">
        <v>30</v>
      </c>
      <c r="D11" s="3" t="s">
        <v>24</v>
      </c>
      <c r="E11" s="11">
        <f>IF(F11="hoher Einfluss",5,IF(F11="eher hoher Einfluss",4,IF(F11="mittlerer Einfluss",3,IF(F11="geringer Einfluss",2,IF(F11="kein Einfluss",1,"")))))</f>
        <v>2</v>
      </c>
      <c r="F11" s="3" t="s">
        <v>25</v>
      </c>
      <c r="G11" s="9">
        <f t="shared" si="7"/>
        <v>1</v>
      </c>
      <c r="H11" s="3"/>
      <c r="I11" s="5">
        <f t="shared" si="8"/>
        <v>1</v>
      </c>
      <c r="J11" s="5" t="str">
        <f t="shared" si="10"/>
        <v>Geringe Priorität</v>
      </c>
      <c r="K11" s="5"/>
    </row>
    <row r="12" spans="1:18" x14ac:dyDescent="0.25">
      <c r="A12" s="4" t="s">
        <v>27</v>
      </c>
      <c r="B12" s="5">
        <f t="shared" si="5"/>
        <v>5</v>
      </c>
      <c r="C12" s="5" t="s">
        <v>33</v>
      </c>
      <c r="D12" s="3" t="s">
        <v>23</v>
      </c>
      <c r="E12" s="11">
        <f t="shared" si="6"/>
        <v>2</v>
      </c>
      <c r="F12" s="3" t="s">
        <v>25</v>
      </c>
      <c r="G12" s="9">
        <f t="shared" si="7"/>
        <v>1</v>
      </c>
      <c r="H12" s="3"/>
      <c r="I12" s="5">
        <f t="shared" si="8"/>
        <v>3</v>
      </c>
      <c r="J12" s="5" t="str">
        <f t="shared" si="10"/>
        <v>Mittlere Priorität</v>
      </c>
      <c r="K12" s="5"/>
    </row>
    <row r="13" spans="1:18" x14ac:dyDescent="0.25">
      <c r="A13" s="4" t="s">
        <v>9</v>
      </c>
      <c r="B13" s="5" t="str">
        <f t="shared" si="5"/>
        <v/>
      </c>
      <c r="C13" s="5"/>
      <c r="D13" s="3"/>
      <c r="E13" s="11" t="str">
        <f t="shared" si="6"/>
        <v/>
      </c>
      <c r="F13" s="3"/>
      <c r="G13" s="9">
        <f t="shared" si="7"/>
        <v>1</v>
      </c>
      <c r="H13" s="3"/>
      <c r="I13" s="5">
        <f t="shared" si="8"/>
        <v>0</v>
      </c>
      <c r="J13" s="5" t="str">
        <f t="shared" si="10"/>
        <v/>
      </c>
      <c r="K13" s="5"/>
    </row>
    <row r="14" spans="1:18" x14ac:dyDescent="0.25">
      <c r="A14" s="4" t="s">
        <v>9</v>
      </c>
      <c r="B14" s="5" t="str">
        <f t="shared" si="5"/>
        <v/>
      </c>
      <c r="C14" s="5"/>
      <c r="D14" s="3"/>
      <c r="E14" s="11" t="str">
        <f t="shared" si="6"/>
        <v/>
      </c>
      <c r="F14" s="3"/>
      <c r="G14" s="9">
        <f t="shared" si="7"/>
        <v>1</v>
      </c>
      <c r="H14" s="3"/>
      <c r="I14" s="5">
        <f t="shared" si="8"/>
        <v>0</v>
      </c>
      <c r="J14" s="5" t="str">
        <f t="shared" si="10"/>
        <v/>
      </c>
      <c r="K14" s="5"/>
    </row>
    <row r="15" spans="1:18" x14ac:dyDescent="0.25">
      <c r="A15" s="4" t="s">
        <v>9</v>
      </c>
      <c r="B15" s="5" t="str">
        <f t="shared" si="5"/>
        <v/>
      </c>
      <c r="C15" s="5"/>
      <c r="D15" s="3"/>
      <c r="E15" s="11" t="str">
        <f t="shared" si="6"/>
        <v/>
      </c>
      <c r="F15" s="3"/>
      <c r="G15" s="9">
        <f t="shared" si="7"/>
        <v>1</v>
      </c>
      <c r="H15" s="3"/>
      <c r="I15" s="5">
        <f t="shared" si="8"/>
        <v>0</v>
      </c>
      <c r="J15" s="5" t="str">
        <f t="shared" si="10"/>
        <v/>
      </c>
      <c r="K15" s="5"/>
    </row>
    <row r="16" spans="1:18" x14ac:dyDescent="0.25">
      <c r="A16" s="4" t="s">
        <v>9</v>
      </c>
      <c r="B16" s="5" t="str">
        <f t="shared" si="5"/>
        <v/>
      </c>
      <c r="C16" s="5"/>
      <c r="D16" s="3"/>
      <c r="E16" s="11" t="str">
        <f t="shared" si="6"/>
        <v/>
      </c>
      <c r="F16" s="3"/>
      <c r="G16" s="9">
        <f t="shared" si="7"/>
        <v>1</v>
      </c>
      <c r="H16" s="3"/>
      <c r="I16" s="5">
        <f t="shared" si="8"/>
        <v>0</v>
      </c>
      <c r="J16" s="5" t="str">
        <f t="shared" si="10"/>
        <v/>
      </c>
      <c r="K16" s="5"/>
    </row>
    <row r="17" spans="1:11" x14ac:dyDescent="0.25">
      <c r="A17" s="4" t="s">
        <v>9</v>
      </c>
      <c r="B17" s="5" t="str">
        <f t="shared" si="5"/>
        <v/>
      </c>
      <c r="C17" s="5"/>
      <c r="D17" s="3"/>
      <c r="E17" s="11" t="str">
        <f t="shared" si="6"/>
        <v/>
      </c>
      <c r="F17" s="3"/>
      <c r="G17" s="9">
        <f t="shared" si="7"/>
        <v>1</v>
      </c>
      <c r="H17" s="3"/>
      <c r="I17" s="5">
        <f t="shared" si="8"/>
        <v>0</v>
      </c>
      <c r="J17" s="5" t="str">
        <f t="shared" si="10"/>
        <v/>
      </c>
      <c r="K17" s="5"/>
    </row>
    <row r="18" spans="1:11" x14ac:dyDescent="0.25">
      <c r="A18" s="4" t="s">
        <v>9</v>
      </c>
      <c r="B18" s="5" t="str">
        <f t="shared" si="5"/>
        <v/>
      </c>
      <c r="C18" s="5"/>
      <c r="D18" s="3"/>
      <c r="E18" s="11" t="str">
        <f t="shared" si="6"/>
        <v/>
      </c>
      <c r="F18" s="3"/>
      <c r="G18" s="9">
        <f t="shared" si="7"/>
        <v>1</v>
      </c>
      <c r="H18" s="3"/>
      <c r="I18" s="5">
        <f t="shared" si="8"/>
        <v>0</v>
      </c>
      <c r="J18" s="5" t="str">
        <f t="shared" si="10"/>
        <v/>
      </c>
      <c r="K18" s="5"/>
    </row>
    <row r="19" spans="1:11" x14ac:dyDescent="0.25">
      <c r="A19" s="4" t="s">
        <v>9</v>
      </c>
      <c r="B19" s="5" t="str">
        <f t="shared" si="5"/>
        <v/>
      </c>
      <c r="C19" s="5"/>
      <c r="D19" s="3"/>
      <c r="E19" s="11" t="str">
        <f t="shared" si="6"/>
        <v/>
      </c>
      <c r="F19" s="3"/>
      <c r="G19" s="9">
        <f t="shared" si="7"/>
        <v>1</v>
      </c>
      <c r="H19" s="3"/>
      <c r="I19" s="5">
        <f t="shared" si="8"/>
        <v>0</v>
      </c>
      <c r="J19" s="5" t="str">
        <f t="shared" si="10"/>
        <v/>
      </c>
      <c r="K19" s="5"/>
    </row>
    <row r="20" spans="1:11" x14ac:dyDescent="0.25">
      <c r="A20" s="4" t="s">
        <v>9</v>
      </c>
      <c r="B20" s="5" t="str">
        <f t="shared" si="5"/>
        <v/>
      </c>
      <c r="C20" s="5"/>
      <c r="D20" s="3"/>
      <c r="E20" s="11" t="str">
        <f t="shared" si="6"/>
        <v/>
      </c>
      <c r="F20" s="3"/>
      <c r="G20" s="9">
        <f t="shared" si="7"/>
        <v>1</v>
      </c>
      <c r="H20" s="3"/>
      <c r="I20" s="5">
        <f t="shared" si="8"/>
        <v>0</v>
      </c>
      <c r="J20" s="5" t="str">
        <f t="shared" si="10"/>
        <v/>
      </c>
      <c r="K20" s="5"/>
    </row>
    <row r="21" spans="1:11" x14ac:dyDescent="0.25">
      <c r="A21" s="4" t="s">
        <v>9</v>
      </c>
      <c r="B21" s="5" t="str">
        <f t="shared" si="5"/>
        <v/>
      </c>
      <c r="C21" s="5"/>
      <c r="D21" s="3"/>
      <c r="E21" s="11" t="str">
        <f t="shared" si="6"/>
        <v/>
      </c>
      <c r="F21" s="3"/>
      <c r="G21" s="9">
        <f t="shared" si="7"/>
        <v>1</v>
      </c>
      <c r="H21" s="3"/>
      <c r="I21" s="5">
        <f t="shared" si="8"/>
        <v>0</v>
      </c>
      <c r="J21" s="5" t="str">
        <f t="shared" si="10"/>
        <v/>
      </c>
      <c r="K21" s="5"/>
    </row>
    <row r="22" spans="1:11" x14ac:dyDescent="0.25">
      <c r="A22" s="4" t="s">
        <v>9</v>
      </c>
      <c r="B22" s="5" t="str">
        <f t="shared" si="5"/>
        <v/>
      </c>
      <c r="C22" s="5"/>
      <c r="D22" s="3"/>
      <c r="E22" s="11" t="str">
        <f t="shared" si="6"/>
        <v/>
      </c>
      <c r="F22" s="3"/>
      <c r="G22" s="9">
        <f t="shared" si="7"/>
        <v>1</v>
      </c>
      <c r="H22" s="3"/>
      <c r="I22" s="5">
        <f t="shared" si="8"/>
        <v>0</v>
      </c>
      <c r="J22" s="5" t="str">
        <f t="shared" si="10"/>
        <v/>
      </c>
      <c r="K22" s="5"/>
    </row>
    <row r="23" spans="1:11" x14ac:dyDescent="0.25">
      <c r="A23" s="4" t="s">
        <v>9</v>
      </c>
      <c r="B23" s="5" t="str">
        <f t="shared" si="5"/>
        <v/>
      </c>
      <c r="C23" s="5"/>
      <c r="D23" s="3"/>
      <c r="E23" s="11" t="str">
        <f t="shared" si="6"/>
        <v/>
      </c>
      <c r="F23" s="3"/>
      <c r="G23" s="9">
        <f t="shared" si="7"/>
        <v>1</v>
      </c>
      <c r="H23" s="3"/>
      <c r="I23" s="5">
        <f t="shared" si="8"/>
        <v>0</v>
      </c>
      <c r="J23" s="5" t="str">
        <f t="shared" si="10"/>
        <v/>
      </c>
      <c r="K23" s="5"/>
    </row>
    <row r="24" spans="1:11" x14ac:dyDescent="0.25">
      <c r="A24" s="4" t="s">
        <v>9</v>
      </c>
      <c r="B24" s="5" t="str">
        <f t="shared" si="5"/>
        <v/>
      </c>
      <c r="C24" s="5"/>
      <c r="D24" s="3"/>
      <c r="E24" s="11" t="str">
        <f t="shared" si="6"/>
        <v/>
      </c>
      <c r="F24" s="3"/>
      <c r="G24" s="9">
        <f t="shared" si="7"/>
        <v>1</v>
      </c>
      <c r="H24" s="3"/>
      <c r="I24" s="5">
        <f t="shared" si="8"/>
        <v>0</v>
      </c>
      <c r="J24" s="5" t="str">
        <f t="shared" si="10"/>
        <v/>
      </c>
      <c r="K24" s="5"/>
    </row>
    <row r="25" spans="1:11" x14ac:dyDescent="0.25">
      <c r="A25" s="4" t="s">
        <v>9</v>
      </c>
      <c r="B25" s="5" t="str">
        <f t="shared" si="5"/>
        <v/>
      </c>
      <c r="C25" s="5"/>
      <c r="D25" s="3"/>
      <c r="E25" s="11" t="str">
        <f t="shared" si="6"/>
        <v/>
      </c>
      <c r="F25" s="3"/>
      <c r="G25" s="9">
        <f t="shared" si="7"/>
        <v>1</v>
      </c>
      <c r="H25" s="3"/>
      <c r="I25" s="5">
        <f t="shared" si="8"/>
        <v>0</v>
      </c>
      <c r="J25" s="5" t="str">
        <f t="shared" si="10"/>
        <v/>
      </c>
      <c r="K25" s="5"/>
    </row>
    <row r="26" spans="1:11" x14ac:dyDescent="0.25">
      <c r="A26" s="4" t="s">
        <v>9</v>
      </c>
      <c r="B26" s="5" t="str">
        <f t="shared" si="5"/>
        <v/>
      </c>
      <c r="C26" s="5"/>
      <c r="D26" s="3"/>
      <c r="E26" s="11" t="str">
        <f t="shared" si="6"/>
        <v/>
      </c>
      <c r="F26" s="3"/>
      <c r="G26" s="9">
        <f t="shared" si="7"/>
        <v>1</v>
      </c>
      <c r="H26" s="3"/>
      <c r="I26" s="5">
        <f t="shared" si="8"/>
        <v>0</v>
      </c>
      <c r="J26" s="5" t="str">
        <f t="shared" si="10"/>
        <v/>
      </c>
      <c r="K26" s="5"/>
    </row>
    <row r="27" spans="1:11" x14ac:dyDescent="0.25">
      <c r="A27" s="4" t="s">
        <v>9</v>
      </c>
      <c r="B27" s="5" t="str">
        <f t="shared" si="5"/>
        <v/>
      </c>
      <c r="C27" s="5"/>
      <c r="D27" s="3"/>
      <c r="E27" s="11" t="str">
        <f t="shared" si="6"/>
        <v/>
      </c>
      <c r="F27" s="3"/>
      <c r="G27" s="9">
        <f t="shared" si="7"/>
        <v>1</v>
      </c>
      <c r="H27" s="3"/>
      <c r="I27" s="5">
        <f t="shared" si="8"/>
        <v>0</v>
      </c>
      <c r="J27" s="5" t="str">
        <f t="shared" si="10"/>
        <v/>
      </c>
      <c r="K27" s="5"/>
    </row>
    <row r="28" spans="1:11" x14ac:dyDescent="0.25">
      <c r="A28" s="4" t="s">
        <v>9</v>
      </c>
      <c r="B28" s="5" t="str">
        <f t="shared" si="5"/>
        <v/>
      </c>
      <c r="C28" s="5"/>
      <c r="D28" s="3"/>
      <c r="E28" s="11" t="str">
        <f t="shared" si="6"/>
        <v/>
      </c>
      <c r="F28" s="3"/>
      <c r="G28" s="9">
        <f t="shared" si="7"/>
        <v>1</v>
      </c>
      <c r="H28" s="3"/>
      <c r="I28" s="5">
        <f t="shared" si="8"/>
        <v>0</v>
      </c>
      <c r="J28" s="5" t="str">
        <f t="shared" si="10"/>
        <v/>
      </c>
      <c r="K28" s="5"/>
    </row>
    <row r="29" spans="1:11" x14ac:dyDescent="0.25">
      <c r="A29" s="4" t="s">
        <v>9</v>
      </c>
      <c r="B29" s="5" t="str">
        <f t="shared" si="5"/>
        <v/>
      </c>
      <c r="C29" s="5"/>
      <c r="D29" s="3"/>
      <c r="E29" s="11" t="str">
        <f t="shared" si="6"/>
        <v/>
      </c>
      <c r="F29" s="3"/>
      <c r="G29" s="9">
        <f t="shared" si="7"/>
        <v>1</v>
      </c>
      <c r="H29" s="3"/>
      <c r="I29" s="5">
        <f t="shared" si="8"/>
        <v>0</v>
      </c>
      <c r="J29" s="5" t="str">
        <f t="shared" si="10"/>
        <v/>
      </c>
      <c r="K29" s="5"/>
    </row>
    <row r="33" spans="1:9" x14ac:dyDescent="0.2">
      <c r="B33" s="10"/>
      <c r="C33" s="10"/>
      <c r="D33" s="8"/>
      <c r="E33" s="8"/>
      <c r="F33" s="8"/>
      <c r="G33" s="8"/>
      <c r="H33" s="8" t="s">
        <v>3</v>
      </c>
      <c r="I33" s="8"/>
    </row>
    <row r="34" spans="1:9" x14ac:dyDescent="0.25">
      <c r="D34" s="14"/>
      <c r="E34" s="14"/>
      <c r="F34" s="14"/>
      <c r="H34" s="1" t="s">
        <v>4</v>
      </c>
    </row>
    <row r="35" spans="1:9" x14ac:dyDescent="0.25">
      <c r="H35" s="1" t="s">
        <v>6</v>
      </c>
    </row>
    <row r="36" spans="1:9" x14ac:dyDescent="0.25">
      <c r="H36" s="1" t="s">
        <v>5</v>
      </c>
    </row>
    <row r="37" spans="1:9" x14ac:dyDescent="0.25">
      <c r="A37" s="12"/>
    </row>
    <row r="38" spans="1:9" x14ac:dyDescent="0.25">
      <c r="A38" s="13"/>
    </row>
  </sheetData>
  <protectedRanges>
    <protectedRange algorithmName="SHA-512" hashValue="zD5gux3lp8q7SfO7IJFzNynrp33JM2Esz9pyy/aMFCGvGKzbHiYDlB4+1W73zniBY3xnzp6Iu3t62XtkbG+bNg==" saltValue="GzxrA9kZEhJdj1PDBBGImA==" spinCount="100000" sqref="K3:K29 J1:J1048576" name="Bereich1"/>
  </protectedRanges>
  <mergeCells count="5">
    <mergeCell ref="M5:N5"/>
    <mergeCell ref="O5:R5"/>
    <mergeCell ref="M4:N4"/>
    <mergeCell ref="O4:Q4"/>
    <mergeCell ref="C1:K1"/>
  </mergeCells>
  <conditionalFormatting sqref="J4:K29">
    <cfRule type="containsText" dxfId="2" priority="1" operator="containsText" text="Geringe Priorität">
      <formula>NOT(ISERROR(SEARCH("Geringe Priorität",J4)))</formula>
    </cfRule>
    <cfRule type="containsText" dxfId="1" priority="2" operator="containsText" text="Hohe Priorität">
      <formula>NOT(ISERROR(SEARCH("Hohe Priorität",J4)))</formula>
    </cfRule>
    <cfRule type="containsText" dxfId="0" priority="3" operator="containsText" text="Mittlere Priorität">
      <formula>NOT(ISERROR(SEARCH("Mittlere Priorität",J4)))</formula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3">
    <dataValidation type="list" allowBlank="1" showInputMessage="1" showErrorMessage="1" sqref="D4:D29" xr:uid="{58CC2E4D-0AA2-4669-A505-259D5E82900A}">
      <formula1>"kein Interesse, niedriges Interesse, mittleres Interesse, eher hohes Interesse, hohes Interesse"</formula1>
    </dataValidation>
    <dataValidation type="list" allowBlank="1" showInputMessage="1" showErrorMessage="1" sqref="F4:F29" xr:uid="{D5E01C6D-AC82-413C-A516-A5FAD7163DC5}">
      <formula1>"kein Einfluss, geringer Einfluss, mittlerer Einfluss, eher hoher Einfluss, hoher Einfluss"</formula1>
    </dataValidation>
    <dataValidation type="list" allowBlank="1" showInputMessage="1" showErrorMessage="1" sqref="H4:H29" xr:uid="{726FD282-818F-4A69-B59B-5D7E831B1047}">
      <formula1>$H$34:$H$36</formula1>
    </dataValidation>
  </dataValidations>
  <pageMargins left="0.7" right="0.7" top="0.78740157499999996" bottom="0.78740157499999996" header="0.3" footer="0.3"/>
  <pageSetup paperSize="9" orientation="portrait" horizontalDpi="200" verticalDpi="200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b0faca8-4f15-42ef-b049-f4d36ea5cd4b" xsi:nil="true"/>
    <lcf76f155ced4ddcb4097134ff3c332f xmlns="879beae5-9526-4631-b059-f6a7ae9bdb1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FDC7E08129DF24BB2559E4147F756E2" ma:contentTypeVersion="10" ma:contentTypeDescription="Ein neues Dokument erstellen." ma:contentTypeScope="" ma:versionID="61286896834c97252558893ef8072357">
  <xsd:schema xmlns:xsd="http://www.w3.org/2001/XMLSchema" xmlns:xs="http://www.w3.org/2001/XMLSchema" xmlns:p="http://schemas.microsoft.com/office/2006/metadata/properties" xmlns:ns2="879beae5-9526-4631-b059-f6a7ae9bdb1e" xmlns:ns3="7b0faca8-4f15-42ef-b049-f4d36ea5cd4b" targetNamespace="http://schemas.microsoft.com/office/2006/metadata/properties" ma:root="true" ma:fieldsID="4a675b770cba298fec26b50574693c74" ns2:_="" ns3:_="">
    <xsd:import namespace="879beae5-9526-4631-b059-f6a7ae9bdb1e"/>
    <xsd:import namespace="7b0faca8-4f15-42ef-b049-f4d36ea5cd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9beae5-9526-4631-b059-f6a7ae9bdb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d2f3aa19-da7d-4521-bc4a-7ede8af266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0faca8-4f15-42ef-b049-f4d36ea5cd4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f9289e8-c5ae-4843-8b41-36357d03cce3}" ma:internalName="TaxCatchAll" ma:showField="CatchAllData" ma:web="7b0faca8-4f15-42ef-b049-f4d36ea5cd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CA7600-DBE4-48F9-8B39-45CA9A494C5C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879beae5-9526-4631-b059-f6a7ae9bdb1e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http://www.w3.org/XML/1998/namespace"/>
    <ds:schemaRef ds:uri="7b0faca8-4f15-42ef-b049-f4d36ea5cd4b"/>
  </ds:schemaRefs>
</ds:datastoreItem>
</file>

<file path=customXml/itemProps2.xml><?xml version="1.0" encoding="utf-8"?>
<ds:datastoreItem xmlns:ds="http://schemas.openxmlformats.org/officeDocument/2006/customXml" ds:itemID="{047F9EF5-96A6-4AA3-8B69-6C26F469A9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9beae5-9526-4631-b059-f6a7ae9bdb1e"/>
    <ds:schemaRef ds:uri="7b0faca8-4f15-42ef-b049-f4d36ea5cd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2B013E7-52EE-46DF-AED1-63C8CBA4EAE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Stakeholderanalyse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ne@projektmagazin.de;ga@projektmagazin.de</dc:creator>
  <cp:keywords/>
  <dc:description/>
  <cp:lastModifiedBy>Hering, Annika</cp:lastModifiedBy>
  <cp:revision/>
  <dcterms:created xsi:type="dcterms:W3CDTF">2021-12-22T09:58:55Z</dcterms:created>
  <dcterms:modified xsi:type="dcterms:W3CDTF">2026-02-24T14:20:34Z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0x0101000FDC7E08129DF24BB2559E4147F756E2</vt:lpwstr>
  </property>
  <property fmtid="{D5CDD505-2E9C-101B-9397-08002B2CF9AE}" pid="3" name="MediaServiceImageTags">
    <vt:lpwstr/>
  </property>
  <property fmtid="{D5CDD505-2E9C-101B-9397-08002B2CF9AE}" pid="4" name="Order">
    <vt:r8>11100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ComplianceAssetId">
    <vt:lpwstr/>
  </property>
  <property fmtid="{D5CDD505-2E9C-101B-9397-08002B2CF9AE}" pid="10" name="TemplateUrl">
    <vt:lpwstr/>
  </property>
</Properties>
</file>